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https://uofc-my.sharepoint.com/personal/arushi_seth_ucalgary_ca/Documents/"/>
    </mc:Choice>
  </mc:AlternateContent>
  <xr:revisionPtr revIDLastSave="0" documentId="8_{9D60B83F-2366-1944-B17F-2AF4E91D4F15}" xr6:coauthVersionLast="47" xr6:coauthVersionMax="47" xr10:uidLastSave="{00000000-0000-0000-0000-000000000000}"/>
  <bookViews>
    <workbookView xWindow="0" yWindow="660" windowWidth="29400" windowHeight="17180" xr2:uid="{00000000-000D-0000-FFFF-FFFF00000000}"/>
  </bookViews>
  <sheets>
    <sheet name="Break-Even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1" l="1"/>
  <c r="C18" i="1"/>
  <c r="D18" i="1"/>
  <c r="E18" i="1"/>
  <c r="F18" i="1"/>
  <c r="G18" i="1"/>
  <c r="H18" i="1"/>
  <c r="I18" i="1"/>
  <c r="J18" i="1"/>
  <c r="B18" i="1"/>
  <c r="B9" i="1"/>
  <c r="B13" i="1"/>
  <c r="B12" i="1"/>
  <c r="B10" i="1"/>
</calcChain>
</file>

<file path=xl/sharedStrings.xml><?xml version="1.0" encoding="utf-8"?>
<sst xmlns="http://schemas.openxmlformats.org/spreadsheetml/2006/main" count="20" uniqueCount="20">
  <si>
    <t>Break-Even Analysis Model</t>
  </si>
  <si>
    <t xml:space="preserve">  ASSUMPTIONS</t>
  </si>
  <si>
    <t xml:space="preserve">Selling Price per Unit </t>
  </si>
  <si>
    <t>Variable Cost per Unit</t>
  </si>
  <si>
    <t xml:space="preserve">Fixed Costs per Month </t>
  </si>
  <si>
    <t>Target Profit</t>
  </si>
  <si>
    <t xml:space="preserve">  CALCULATIONS</t>
  </si>
  <si>
    <t>Contribution Margin per Unit</t>
  </si>
  <si>
    <t>Selling Price per Unit - Variable Cost per Unit</t>
  </si>
  <si>
    <t>Contribution Margin Ratio</t>
  </si>
  <si>
    <t>Contribution Margin per Unit / Selling Price per Unit</t>
  </si>
  <si>
    <t>Break-Even Point (Units)</t>
  </si>
  <si>
    <t>Fixed Costs per Month / Contribution Margin per Unit</t>
  </si>
  <si>
    <t> Break-Even Point (Revenue)</t>
  </si>
  <si>
    <t>Break-Even Point (Units) * Selling Price per Unit</t>
  </si>
  <si>
    <t>Units to Reach Target Profit</t>
  </si>
  <si>
    <t>(Fixed Costs per Unit +Target Profit) / Contribution Margin per Unit</t>
  </si>
  <si>
    <t xml:space="preserve">  SENSITIVITY TABLE — Break-Even Units at Different Selling Prices</t>
  </si>
  <si>
    <t>Selling price</t>
  </si>
  <si>
    <t>Break-Even 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</si>
</sst>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0.0%"/>
    <numFmt numFmtId="165" formatCode="\$#,##0.00"/>
    <numFmt numFmtId="166" formatCode="\$#,##0"/>
  </numFmts>
  <fonts count="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6"/>
      <color rgb="FFFFFFFF"/>
      <name val="Arial"/>
      <family val="2"/>
    </font>
    <font>
      <b/>
      <sz val="11"/>
      <color rgb="FFFFFFFF"/>
      <name val="Arial"/>
      <family val="2"/>
    </font>
    <font>
      <b/>
      <sz val="11"/>
      <color rgb="FF000000"/>
      <name val="Arial"/>
      <family val="2"/>
    </font>
    <font>
      <sz val="11"/>
      <color rgb="FF0000FF"/>
      <name val="Arial"/>
      <family val="2"/>
    </font>
    <font>
      <sz val="11"/>
      <color rgb="FF000000"/>
      <name val="Arial"/>
      <family val="2"/>
    </font>
    <font>
      <i/>
      <sz val="10"/>
      <color rgb="FF595959"/>
      <name val="Arial"/>
      <family val="2"/>
    </font>
    <font>
      <b/>
      <sz val="11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2F4F7F"/>
        <bgColor rgb="FF2F4F7F"/>
      </patternFill>
    </fill>
    <fill>
      <patternFill patternType="solid">
        <fgColor rgb="FF4472C4"/>
        <bgColor rgb="FF4472C4"/>
      </patternFill>
    </fill>
    <fill>
      <patternFill patternType="solid">
        <fgColor rgb="FFD9E1F2"/>
        <bgColor rgb="FFD9E1F2"/>
      </patternFill>
    </fill>
    <fill>
      <patternFill patternType="solid">
        <fgColor rgb="FFFFFFFF"/>
        <bgColor rgb="FFFFFFFF"/>
      </patternFill>
    </fill>
    <fill>
      <patternFill patternType="solid">
        <fgColor rgb="FFE2EFDA"/>
        <bgColor rgb="FFE2EFDA"/>
      </patternFill>
    </fill>
    <fill>
      <patternFill patternType="solid">
        <fgColor rgb="FFF2F2F2"/>
        <bgColor rgb="FFF2F2F2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/>
      <diagonal/>
    </border>
    <border>
      <left/>
      <right/>
      <top style="thin">
        <color rgb="FFBFBFBF"/>
      </top>
      <bottom/>
      <diagonal/>
    </border>
    <border>
      <left style="thin">
        <color rgb="FFBFBFBF"/>
      </left>
      <right/>
      <top/>
      <bottom/>
      <diagonal/>
    </border>
  </borders>
  <cellStyleXfs count="3">
    <xf numFmtId="0" fontId="0" fillId="0" borderId="0"/>
    <xf numFmtId="44" fontId="1" fillId="0" borderId="0"/>
    <xf numFmtId="9" fontId="1" fillId="0" borderId="0"/>
  </cellStyleXfs>
  <cellXfs count="27">
    <xf numFmtId="0" fontId="0" fillId="0" borderId="0" xfId="0"/>
    <xf numFmtId="0" fontId="4" fillId="4" borderId="1" xfId="0" applyFont="1" applyFill="1" applyBorder="1" applyAlignment="1">
      <alignment horizontal="lef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4" fillId="5" borderId="1" xfId="0" applyFont="1" applyFill="1" applyBorder="1" applyAlignment="1">
      <alignment horizontal="left" vertical="center"/>
    </xf>
    <xf numFmtId="165" fontId="6" fillId="5" borderId="1" xfId="1" applyNumberFormat="1" applyFont="1" applyFill="1" applyBorder="1" applyAlignment="1">
      <alignment horizontal="right" vertical="center"/>
    </xf>
    <xf numFmtId="164" fontId="6" fillId="5" borderId="1" xfId="2" applyNumberFormat="1" applyFont="1" applyFill="1" applyBorder="1" applyAlignment="1">
      <alignment horizontal="right" vertical="center"/>
    </xf>
    <xf numFmtId="0" fontId="4" fillId="6" borderId="1" xfId="0" applyFont="1" applyFill="1" applyBorder="1" applyAlignment="1">
      <alignment horizontal="left" vertical="center"/>
    </xf>
    <xf numFmtId="3" fontId="6" fillId="6" borderId="1" xfId="0" applyNumberFormat="1" applyFont="1" applyFill="1" applyBorder="1" applyAlignment="1">
      <alignment horizontal="right" vertical="center"/>
    </xf>
    <xf numFmtId="165" fontId="6" fillId="6" borderId="1" xfId="1" applyNumberFormat="1" applyFont="1" applyFill="1" applyBorder="1" applyAlignment="1">
      <alignment horizontal="right" vertical="center"/>
    </xf>
    <xf numFmtId="3" fontId="6" fillId="5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center" vertical="center"/>
    </xf>
    <xf numFmtId="166" fontId="3" fillId="2" borderId="1" xfId="0" applyNumberFormat="1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left" vertical="center"/>
    </xf>
    <xf numFmtId="3" fontId="6" fillId="4" borderId="1" xfId="0" applyNumberFormat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vertical="center"/>
    </xf>
    <xf numFmtId="0" fontId="0" fillId="0" borderId="0" xfId="0" applyAlignment="1">
      <alignment wrapText="1"/>
    </xf>
    <xf numFmtId="0" fontId="7" fillId="0" borderId="0" xfId="0" applyFont="1" applyAlignment="1">
      <alignment vertical="center"/>
    </xf>
    <xf numFmtId="0" fontId="8" fillId="0" borderId="2" xfId="0" applyFont="1" applyBorder="1" applyAlignment="1">
      <alignment vertical="center"/>
    </xf>
    <xf numFmtId="0" fontId="3" fillId="3" borderId="2" xfId="0" applyFont="1" applyFill="1" applyBorder="1" applyAlignment="1">
      <alignment horizontal="center" vertical="center"/>
    </xf>
    <xf numFmtId="0" fontId="7" fillId="0" borderId="3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7" fillId="0" borderId="5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7" fillId="0" borderId="5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0" borderId="0" xfId="0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"/>
  <sheetViews>
    <sheetView tabSelected="1" workbookViewId="0">
      <selection activeCell="C5" sqref="C5"/>
    </sheetView>
  </sheetViews>
  <sheetFormatPr baseColWidth="10" defaultRowHeight="16" x14ac:dyDescent="0.2"/>
  <cols>
    <col min="1" max="1" width="34" customWidth="1"/>
    <col min="2" max="2" width="16" customWidth="1"/>
    <col min="3" max="3" width="31.5" customWidth="1"/>
    <col min="4" max="5" width="10.1640625" customWidth="1"/>
    <col min="6" max="13" width="9" customWidth="1"/>
  </cols>
  <sheetData>
    <row r="1" spans="1:10" ht="32" customHeight="1" x14ac:dyDescent="0.2">
      <c r="A1" s="25" t="s">
        <v>0</v>
      </c>
      <c r="B1" s="26"/>
      <c r="C1" s="26"/>
    </row>
    <row r="2" spans="1:10" ht="18" customHeight="1" x14ac:dyDescent="0.2">
      <c r="A2" s="18" t="s">
        <v>1</v>
      </c>
      <c r="B2" s="18"/>
    </row>
    <row r="3" spans="1:10" ht="18" customHeight="1" x14ac:dyDescent="0.2">
      <c r="A3" s="1" t="s">
        <v>2</v>
      </c>
      <c r="B3" s="2">
        <v>50</v>
      </c>
    </row>
    <row r="4" spans="1:10" ht="18" customHeight="1" x14ac:dyDescent="0.2">
      <c r="A4" s="1" t="s">
        <v>3</v>
      </c>
      <c r="B4" s="2">
        <v>20</v>
      </c>
    </row>
    <row r="5" spans="1:10" ht="18" customHeight="1" x14ac:dyDescent="0.2">
      <c r="A5" s="1" t="s">
        <v>4</v>
      </c>
      <c r="B5" s="2">
        <v>5000</v>
      </c>
    </row>
    <row r="6" spans="1:10" ht="18" customHeight="1" x14ac:dyDescent="0.2">
      <c r="A6" s="1" t="s">
        <v>5</v>
      </c>
      <c r="B6" s="2">
        <v>2000</v>
      </c>
    </row>
    <row r="7" spans="1:10" ht="17" customHeight="1" x14ac:dyDescent="0.2"/>
    <row r="8" spans="1:10" ht="18" customHeight="1" x14ac:dyDescent="0.2">
      <c r="A8" s="14" t="s">
        <v>6</v>
      </c>
      <c r="B8" s="14"/>
      <c r="C8" s="14"/>
      <c r="D8" s="14"/>
      <c r="E8" s="14"/>
      <c r="F8" s="17"/>
    </row>
    <row r="9" spans="1:10" ht="25" customHeight="1" x14ac:dyDescent="0.2">
      <c r="A9" s="3" t="s">
        <v>7</v>
      </c>
      <c r="B9" s="4">
        <f>B3-B4</f>
        <v>30</v>
      </c>
      <c r="C9" s="19" t="s">
        <v>8</v>
      </c>
      <c r="D9" s="20"/>
      <c r="E9" s="15"/>
      <c r="F9" s="15"/>
    </row>
    <row r="10" spans="1:10" ht="27" customHeight="1" x14ac:dyDescent="0.2">
      <c r="A10" s="3" t="s">
        <v>9</v>
      </c>
      <c r="B10" s="5">
        <f>B9/B3</f>
        <v>0.6</v>
      </c>
      <c r="C10" s="21" t="s">
        <v>10</v>
      </c>
      <c r="D10" s="22"/>
      <c r="E10" s="15"/>
      <c r="F10" s="15"/>
      <c r="G10" s="15"/>
    </row>
    <row r="11" spans="1:10" ht="20" customHeight="1" x14ac:dyDescent="0.2">
      <c r="A11" s="6" t="s">
        <v>11</v>
      </c>
      <c r="B11" s="7">
        <f>B5/B9</f>
        <v>166.66666666666666</v>
      </c>
      <c r="C11" s="23" t="s">
        <v>12</v>
      </c>
      <c r="D11" s="24"/>
    </row>
    <row r="12" spans="1:10" ht="24" customHeight="1" x14ac:dyDescent="0.2">
      <c r="A12" s="6" t="s">
        <v>13</v>
      </c>
      <c r="B12" s="8">
        <f>B11*B3</f>
        <v>8333.3333333333321</v>
      </c>
      <c r="C12" s="21" t="s">
        <v>14</v>
      </c>
      <c r="D12" s="22"/>
    </row>
    <row r="13" spans="1:10" ht="28" customHeight="1" x14ac:dyDescent="0.2">
      <c r="A13" s="3" t="s">
        <v>15</v>
      </c>
      <c r="B13" s="9">
        <f>(B5+B6)/B9</f>
        <v>233.33333333333334</v>
      </c>
      <c r="C13" s="21" t="s">
        <v>16</v>
      </c>
      <c r="D13" s="22"/>
      <c r="E13" s="22"/>
      <c r="F13" s="16"/>
    </row>
    <row r="16" spans="1:10" ht="18" customHeight="1" x14ac:dyDescent="0.2">
      <c r="A16" s="18" t="s">
        <v>17</v>
      </c>
      <c r="B16" s="18"/>
      <c r="C16" s="18"/>
      <c r="D16" s="18"/>
      <c r="E16" s="18"/>
      <c r="F16" s="18"/>
      <c r="G16" s="18"/>
      <c r="H16" s="18"/>
      <c r="I16" s="18"/>
      <c r="J16" s="18"/>
    </row>
    <row r="17" spans="1:10" ht="18" customHeight="1" x14ac:dyDescent="0.2">
      <c r="A17" s="10" t="s">
        <v>18</v>
      </c>
      <c r="B17" s="11">
        <v>30</v>
      </c>
      <c r="C17" s="11">
        <v>35</v>
      </c>
      <c r="D17" s="11">
        <v>40</v>
      </c>
      <c r="E17" s="11">
        <v>45</v>
      </c>
      <c r="F17" s="11">
        <v>50</v>
      </c>
      <c r="G17" s="11">
        <v>55</v>
      </c>
      <c r="H17" s="11">
        <v>60</v>
      </c>
      <c r="I17" s="11">
        <v>65</v>
      </c>
      <c r="J17" s="11">
        <v>70</v>
      </c>
    </row>
    <row r="18" spans="1:10" ht="18" customHeight="1" x14ac:dyDescent="0.2">
      <c r="A18" s="12" t="s">
        <v>19</v>
      </c>
      <c r="B18" s="13">
        <f>$B$5/(B17-$B$4)</f>
        <v>500</v>
      </c>
      <c r="C18" s="13">
        <f t="shared" ref="C18:J18" si="0">$B$5/(C17-$B$4)</f>
        <v>333.33333333333331</v>
      </c>
      <c r="D18" s="13">
        <f t="shared" si="0"/>
        <v>250</v>
      </c>
      <c r="E18" s="13">
        <f t="shared" si="0"/>
        <v>200</v>
      </c>
      <c r="F18" s="13">
        <f t="shared" si="0"/>
        <v>166.66666666666666</v>
      </c>
      <c r="G18" s="13">
        <f t="shared" si="0"/>
        <v>142.85714285714286</v>
      </c>
      <c r="H18" s="13">
        <f t="shared" si="0"/>
        <v>125</v>
      </c>
      <c r="I18" s="13">
        <f t="shared" si="0"/>
        <v>111.11111111111111</v>
      </c>
      <c r="J18" s="13">
        <f t="shared" si="0"/>
        <v>100</v>
      </c>
    </row>
  </sheetData>
  <mergeCells count="8">
    <mergeCell ref="A1:C1"/>
    <mergeCell ref="A16:J16"/>
    <mergeCell ref="A2:B2"/>
    <mergeCell ref="C9:D9"/>
    <mergeCell ref="C10:D10"/>
    <mergeCell ref="C11:D11"/>
    <mergeCell ref="C12:D12"/>
    <mergeCell ref="C13:E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Break-Even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Arushi Seth</dc:creator>
  <cp:lastModifiedBy>Arushi Seth</cp:lastModifiedBy>
  <dcterms:created xsi:type="dcterms:W3CDTF">2026-06-04T03:20:18Z</dcterms:created>
  <dcterms:modified xsi:type="dcterms:W3CDTF">2026-06-21T00:58:29Z</dcterms:modified>
</cp:coreProperties>
</file>